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oporte\Documents\Informe mensual\"/>
    </mc:Choice>
  </mc:AlternateContent>
  <bookViews>
    <workbookView xWindow="0" yWindow="0" windowWidth="16457" windowHeight="5957"/>
  </bookViews>
  <sheets>
    <sheet name="Control Copias e Impresiones" sheetId="18" r:id="rId1"/>
    <sheet name="Septiembre" sheetId="23" r:id="rId2"/>
    <sheet name="Agosto" sheetId="19" r:id="rId3"/>
    <sheet name="Julio" sheetId="22" r:id="rId4"/>
    <sheet name="Junio" sheetId="21" r:id="rId5"/>
    <sheet name="Mayo" sheetId="20" r:id="rId6"/>
    <sheet name="Abril" sheetId="17" r:id="rId7"/>
    <sheet name="Marzo" sheetId="16" r:id="rId8"/>
    <sheet name="Febrero" sheetId="15" r:id="rId9"/>
    <sheet name="Enero 25012026" sheetId="14" r:id="rId10"/>
    <sheet name="Enero 15012026" sheetId="13" r:id="rId11"/>
    <sheet name="Enero 2026" sheetId="12" r:id="rId12"/>
  </sheets>
  <definedNames>
    <definedName name="_xlnm._FilterDatabase" localSheetId="6" hidden="1">Abril!$A$6:$G$6</definedName>
    <definedName name="_xlnm._FilterDatabase" localSheetId="2" hidden="1">Agosto!$A$6:$G$6</definedName>
    <definedName name="_xlnm._FilterDatabase" localSheetId="10" hidden="1">'Enero 15012026'!$A$6:$G$6</definedName>
    <definedName name="_xlnm._FilterDatabase" localSheetId="11" hidden="1">'Enero 2026'!$A$6:$G$6</definedName>
    <definedName name="_xlnm._FilterDatabase" localSheetId="9" hidden="1">'Enero 25012026'!$A$7:$G$7</definedName>
    <definedName name="_xlnm._FilterDatabase" localSheetId="8" hidden="1">Febrero!$A$6:$G$6</definedName>
    <definedName name="_xlnm._FilterDatabase" localSheetId="7" hidden="1">Marzo!$A$6:$G$6</definedName>
    <definedName name="_xlnm._FilterDatabase" localSheetId="1" hidden="1">Septiembre!$A$6:$G$6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15" i="18" l="1"/>
  <c r="Y13" i="18"/>
  <c r="Y12" i="18"/>
  <c r="Y11" i="18"/>
  <c r="Y10" i="18"/>
  <c r="Y9" i="18"/>
  <c r="Y8" i="18"/>
  <c r="Y7" i="18"/>
  <c r="Y14" i="18" s="1"/>
  <c r="F3" i="18" l="1"/>
  <c r="D4" i="18"/>
  <c r="F4" i="18"/>
  <c r="G4" i="23" l="1"/>
  <c r="W9" i="18"/>
  <c r="W10" i="18"/>
  <c r="W11" i="18"/>
  <c r="W12" i="18"/>
  <c r="W13" i="18"/>
  <c r="W8" i="18"/>
  <c r="W7" i="18"/>
  <c r="U7" i="18"/>
  <c r="V15" i="18"/>
  <c r="D15" i="23"/>
  <c r="C15" i="23"/>
  <c r="E14" i="23"/>
  <c r="E13" i="23"/>
  <c r="E12" i="23"/>
  <c r="E11" i="23"/>
  <c r="E10" i="23"/>
  <c r="E9" i="23"/>
  <c r="E8" i="23"/>
  <c r="W14" i="18" l="1"/>
  <c r="E15" i="23"/>
  <c r="B4" i="23" s="1"/>
  <c r="D4" i="23" s="1"/>
  <c r="B4" i="14"/>
  <c r="G4" i="14" s="1"/>
  <c r="D4" i="14" s="1"/>
  <c r="D15" i="13" l="1"/>
  <c r="C15" i="13"/>
  <c r="E14" i="13"/>
  <c r="E13" i="13"/>
  <c r="E12" i="13"/>
  <c r="E11" i="13"/>
  <c r="E10" i="13"/>
  <c r="E9" i="13"/>
  <c r="E8" i="13"/>
  <c r="E15" i="13" s="1"/>
  <c r="B4" i="13" s="1"/>
  <c r="G4" i="13" s="1"/>
  <c r="D4" i="13" s="1"/>
  <c r="C15" i="12"/>
  <c r="B4" i="12"/>
  <c r="G4" i="12" s="1"/>
  <c r="D4" i="12" s="1"/>
  <c r="D15" i="15"/>
  <c r="C15" i="15"/>
  <c r="E14" i="15"/>
  <c r="E13" i="15"/>
  <c r="E12" i="15"/>
  <c r="E11" i="15"/>
  <c r="E10" i="15"/>
  <c r="E9" i="15"/>
  <c r="E8" i="15"/>
  <c r="E15" i="15" s="1"/>
  <c r="B4" i="15" s="1"/>
  <c r="G4" i="15" s="1"/>
  <c r="D4" i="15" s="1"/>
  <c r="D15" i="16"/>
  <c r="C15" i="16"/>
  <c r="E14" i="16"/>
  <c r="E13" i="16"/>
  <c r="E12" i="16"/>
  <c r="E11" i="16"/>
  <c r="E10" i="16"/>
  <c r="E9" i="16"/>
  <c r="E8" i="16"/>
  <c r="E15" i="16" s="1"/>
  <c r="B4" i="16" s="1"/>
  <c r="G4" i="16" s="1"/>
  <c r="D4" i="16" s="1"/>
  <c r="D15" i="17"/>
  <c r="C15" i="17"/>
  <c r="E14" i="17"/>
  <c r="E13" i="17"/>
  <c r="E12" i="17"/>
  <c r="E11" i="17"/>
  <c r="E10" i="17"/>
  <c r="E9" i="17"/>
  <c r="E8" i="17"/>
  <c r="E15" i="17" s="1"/>
  <c r="B4" i="17" s="1"/>
  <c r="G4" i="17" s="1"/>
  <c r="D4" i="17" s="1"/>
  <c r="D15" i="20"/>
  <c r="C15" i="20"/>
  <c r="E14" i="20"/>
  <c r="E13" i="20"/>
  <c r="E12" i="20"/>
  <c r="E11" i="20"/>
  <c r="E10" i="20"/>
  <c r="E9" i="20"/>
  <c r="E8" i="20"/>
  <c r="E15" i="20" s="1"/>
  <c r="B4" i="20" s="1"/>
  <c r="G4" i="20" s="1"/>
  <c r="D4" i="20" s="1"/>
  <c r="D15" i="21"/>
  <c r="C15" i="21"/>
  <c r="E14" i="21"/>
  <c r="E13" i="21"/>
  <c r="E12" i="21"/>
  <c r="E11" i="21"/>
  <c r="E10" i="21"/>
  <c r="E9" i="21"/>
  <c r="E15" i="21" s="1"/>
  <c r="B4" i="21" s="1"/>
  <c r="G4" i="21" s="1"/>
  <c r="D4" i="21" s="1"/>
  <c r="E8" i="21"/>
  <c r="D15" i="22"/>
  <c r="C15" i="22"/>
  <c r="E14" i="22"/>
  <c r="E13" i="22"/>
  <c r="E12" i="22"/>
  <c r="E11" i="22"/>
  <c r="E10" i="22"/>
  <c r="E9" i="22"/>
  <c r="E8" i="22"/>
  <c r="E15" i="22" s="1"/>
  <c r="B4" i="22" s="1"/>
  <c r="G4" i="22" s="1"/>
  <c r="D4" i="22" s="1"/>
  <c r="D15" i="19"/>
  <c r="C15" i="19"/>
  <c r="E14" i="19"/>
  <c r="E13" i="19"/>
  <c r="E12" i="19"/>
  <c r="E11" i="19"/>
  <c r="E10" i="19"/>
  <c r="E9" i="19"/>
  <c r="E8" i="19"/>
  <c r="E15" i="19" s="1"/>
  <c r="B4" i="19" s="1"/>
  <c r="G4" i="19" s="1"/>
  <c r="D4" i="19" s="1"/>
  <c r="U13" i="18" l="1"/>
  <c r="U12" i="18"/>
  <c r="U11" i="18"/>
  <c r="U10" i="18"/>
  <c r="U9" i="18"/>
  <c r="U8" i="18"/>
  <c r="U14" i="18" l="1"/>
  <c r="T15" i="18"/>
  <c r="R15" i="18"/>
  <c r="P15" i="18"/>
  <c r="S14" i="18"/>
  <c r="S8" i="18"/>
  <c r="S9" i="18"/>
  <c r="S10" i="18"/>
  <c r="S11" i="18"/>
  <c r="S12" i="18"/>
  <c r="S13" i="18"/>
  <c r="S7" i="18"/>
  <c r="Q13" i="18"/>
  <c r="Q12" i="18"/>
  <c r="Q11" i="18"/>
  <c r="Q14" i="18" s="1"/>
  <c r="Q10" i="18"/>
  <c r="Q9" i="18"/>
  <c r="Q8" i="18"/>
  <c r="Q7" i="18"/>
  <c r="D3" i="18" l="1"/>
  <c r="O13" i="18"/>
  <c r="O12" i="18"/>
  <c r="O11" i="18"/>
  <c r="O10" i="18"/>
  <c r="O9" i="18"/>
  <c r="O14" i="18" s="1"/>
  <c r="O8" i="18"/>
  <c r="O7" i="18"/>
  <c r="I7" i="18" l="1"/>
  <c r="M8" i="18" l="1"/>
  <c r="M9" i="18"/>
  <c r="M10" i="18"/>
  <c r="M11" i="18"/>
  <c r="M12" i="18"/>
  <c r="M13" i="18"/>
  <c r="M7" i="18"/>
  <c r="K8" i="18"/>
  <c r="K9" i="18"/>
  <c r="K10" i="18"/>
  <c r="K11" i="18"/>
  <c r="K12" i="18"/>
  <c r="K13" i="18"/>
  <c r="K7" i="18"/>
  <c r="I13" i="18"/>
  <c r="I8" i="18"/>
  <c r="I9" i="18"/>
  <c r="I10" i="18"/>
  <c r="I11" i="18"/>
  <c r="I12" i="18"/>
  <c r="G13" i="18"/>
  <c r="G12" i="18"/>
  <c r="G11" i="18"/>
  <c r="G10" i="18"/>
  <c r="G9" i="18"/>
  <c r="G8" i="18"/>
  <c r="G7" i="18"/>
  <c r="G14" i="18" l="1"/>
  <c r="H15" i="18" s="1"/>
  <c r="I14" i="18"/>
  <c r="M14" i="18"/>
  <c r="K14" i="18"/>
  <c r="J15" i="18" l="1"/>
  <c r="L15" i="18" s="1"/>
  <c r="N15" i="18" s="1"/>
  <c r="D15" i="14" l="1"/>
  <c r="C15" i="14"/>
  <c r="E14" i="14"/>
  <c r="E13" i="14"/>
  <c r="E12" i="14"/>
  <c r="E11" i="14"/>
  <c r="E10" i="14"/>
  <c r="E9" i="14"/>
  <c r="E8" i="14"/>
  <c r="E15" i="14" l="1"/>
</calcChain>
</file>

<file path=xl/sharedStrings.xml><?xml version="1.0" encoding="utf-8"?>
<sst xmlns="http://schemas.openxmlformats.org/spreadsheetml/2006/main" count="467" uniqueCount="73">
  <si>
    <t>M3655IDN-L</t>
  </si>
  <si>
    <t>R4P1890100</t>
  </si>
  <si>
    <t>R4P1786886</t>
  </si>
  <si>
    <t>DAJ</t>
  </si>
  <si>
    <t>DAF</t>
  </si>
  <si>
    <t>R4P1890108</t>
  </si>
  <si>
    <t>SG</t>
  </si>
  <si>
    <t>R4P1786882</t>
  </si>
  <si>
    <t>URC</t>
  </si>
  <si>
    <t>DAB -RRHH</t>
  </si>
  <si>
    <t>Lobby</t>
  </si>
  <si>
    <t>DCR</t>
  </si>
  <si>
    <t xml:space="preserve">Modelo </t>
  </si>
  <si>
    <t xml:space="preserve">Serie </t>
  </si>
  <si>
    <t>Producido</t>
  </si>
  <si>
    <t>R4P1890099</t>
  </si>
  <si>
    <t>R4P1890103</t>
  </si>
  <si>
    <t>R4P1890109</t>
  </si>
  <si>
    <t>Ubicación</t>
  </si>
  <si>
    <t>Nivel</t>
  </si>
  <si>
    <t>Contador Inicial</t>
  </si>
  <si>
    <t>Contador Actual</t>
  </si>
  <si>
    <t>CONTADORES FOTOCOPIADORAS PROVEEDOR PRINTER</t>
  </si>
  <si>
    <t xml:space="preserve">Totales </t>
  </si>
  <si>
    <t>CONTADORES al 27/02/2026 00:00:00 Hrs.</t>
  </si>
  <si>
    <t>CONTADORES INICIALES.</t>
  </si>
  <si>
    <t># de Contrato:</t>
  </si>
  <si>
    <t>CONTADORES al 16/01/2026 00:00:00 Hrs.</t>
  </si>
  <si>
    <t>CONTADORES al 26/01/2026 00:00:00 Hrs.</t>
  </si>
  <si>
    <t>CONTADORES al 27/03/2026 00:00:00 Hrs.</t>
  </si>
  <si>
    <t>CONTADORES al 27/04/2026 00:00:00 Hrs.</t>
  </si>
  <si>
    <t>Enero</t>
  </si>
  <si>
    <t>Contador Inicial 2/01/2025</t>
  </si>
  <si>
    <t>Contador al 25/01/2026</t>
  </si>
  <si>
    <t>Contador al 26/02/2026</t>
  </si>
  <si>
    <t>Contador al 26/03/2026</t>
  </si>
  <si>
    <t>Producido Enero</t>
  </si>
  <si>
    <t>Producido Febrero</t>
  </si>
  <si>
    <t>Producido Marzo</t>
  </si>
  <si>
    <t>Producido Abril</t>
  </si>
  <si>
    <t>Contador al 26/04/2026</t>
  </si>
  <si>
    <t>Bolsón B/N:</t>
  </si>
  <si>
    <t>Saldo:</t>
  </si>
  <si>
    <t>Consumo Acumulado:</t>
  </si>
  <si>
    <t>Producido Mayo</t>
  </si>
  <si>
    <t>Producido Junio</t>
  </si>
  <si>
    <t>Producido Julio</t>
  </si>
  <si>
    <t>CONTADORES al 27/07/2026 00:00:00 Hrs.</t>
  </si>
  <si>
    <t>Impresión Mensual Aprox 12 meses:</t>
  </si>
  <si>
    <t>CONTADORES COPIAS E IMPRESIONES - PROVEEDOR PRINTER</t>
  </si>
  <si>
    <t>Contador al 26/05/2026</t>
  </si>
  <si>
    <t>Contador al 25/06/2026</t>
  </si>
  <si>
    <t>Contador al 27/07/2026</t>
  </si>
  <si>
    <t>Producido Agosto</t>
  </si>
  <si>
    <t>CONTADORES al 27/08/2026 00:00:00 Hrs.</t>
  </si>
  <si>
    <t>Bolsón Contratado:</t>
  </si>
  <si>
    <t>Bolsón al Corte:</t>
  </si>
  <si>
    <t>Producido en el mes:</t>
  </si>
  <si>
    <t>Total producido:</t>
  </si>
  <si>
    <t>Bolsón Disponible:</t>
  </si>
  <si>
    <t>CONTADORES al 26/06/2026 00:00:00 Hrs.</t>
  </si>
  <si>
    <t>CONTADORES al 27/05/2026 00:00:00 Hrs.</t>
  </si>
  <si>
    <t>Acumulado:</t>
  </si>
  <si>
    <t>Bolsón Disponible septiembre:</t>
  </si>
  <si>
    <t>Contador al 26/08/2026</t>
  </si>
  <si>
    <t>CONTADORES al 25/09/2026 00:00:00 Hrs.</t>
  </si>
  <si>
    <t>Contador al 25/09/2026</t>
  </si>
  <si>
    <t>Producido Septiembre</t>
  </si>
  <si>
    <t>Consumo promedio ene-sep</t>
  </si>
  <si>
    <t>Contador al xx/xx/2026</t>
  </si>
  <si>
    <t>Producido Octubre</t>
  </si>
  <si>
    <t>Producido Noviembre</t>
  </si>
  <si>
    <t>Producido Diciembre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</si>
</sst>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8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4" fillId="0" borderId="0" applyFont="0" applyFill="0" applyBorder="0" applyAlignment="0" applyProtection="0"/>
  </cellStyleXfs>
  <cellXfs count="75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0" fillId="0" borderId="2" xfId="0" applyBorder="1"/>
    <xf numFmtId="0" fontId="0" fillId="0" borderId="3" xfId="0" applyBorder="1"/>
    <xf numFmtId="0" fontId="0" fillId="0" borderId="3" xfId="0" applyBorder="1" applyAlignment="1">
      <alignment horizontal="center"/>
    </xf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14" fontId="1" fillId="0" borderId="1" xfId="0" applyNumberFormat="1" applyFon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2" xfId="0" applyNumberForma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0" borderId="5" xfId="0" applyFont="1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3" fontId="0" fillId="0" borderId="2" xfId="0" applyNumberFormat="1" applyFill="1" applyBorder="1" applyAlignment="1">
      <alignment horizontal="center"/>
    </xf>
    <xf numFmtId="3" fontId="0" fillId="0" borderId="3" xfId="0" applyNumberForma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/>
    <xf numFmtId="0" fontId="1" fillId="0" borderId="0" xfId="0" applyFont="1" applyAlignment="1">
      <alignment horizontal="center"/>
    </xf>
    <xf numFmtId="3" fontId="0" fillId="0" borderId="2" xfId="0" applyNumberFormat="1" applyBorder="1"/>
    <xf numFmtId="0" fontId="1" fillId="0" borderId="0" xfId="0" applyFont="1" applyAlignment="1">
      <alignment vertical="top" wrapText="1"/>
    </xf>
    <xf numFmtId="3" fontId="0" fillId="0" borderId="2" xfId="0" applyNumberFormat="1" applyBorder="1" applyAlignment="1">
      <alignment vertical="top" wrapText="1"/>
    </xf>
    <xf numFmtId="0" fontId="0" fillId="0" borderId="0" xfId="0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3" fontId="1" fillId="0" borderId="2" xfId="0" applyNumberFormat="1" applyFont="1" applyBorder="1" applyAlignment="1">
      <alignment horizontal="center"/>
    </xf>
    <xf numFmtId="3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164" fontId="1" fillId="0" borderId="0" xfId="1" applyNumberFormat="1" applyFont="1" applyAlignment="1">
      <alignment horizontal="center"/>
    </xf>
    <xf numFmtId="3" fontId="5" fillId="0" borderId="2" xfId="0" applyNumberFormat="1" applyFont="1" applyBorder="1" applyAlignment="1">
      <alignment horizontal="center"/>
    </xf>
    <xf numFmtId="0" fontId="3" fillId="3" borderId="2" xfId="0" applyFont="1" applyFill="1" applyBorder="1" applyAlignment="1">
      <alignment horizontal="right"/>
    </xf>
    <xf numFmtId="3" fontId="1" fillId="3" borderId="2" xfId="0" applyNumberFormat="1" applyFont="1" applyFill="1" applyBorder="1"/>
    <xf numFmtId="0" fontId="1" fillId="3" borderId="2" xfId="0" applyFont="1" applyFill="1" applyBorder="1"/>
    <xf numFmtId="0" fontId="2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3" fontId="5" fillId="0" borderId="3" xfId="0" applyNumberFormat="1" applyFont="1" applyBorder="1" applyAlignment="1">
      <alignment horizontal="center"/>
    </xf>
    <xf numFmtId="3" fontId="1" fillId="0" borderId="0" xfId="0" applyNumberFormat="1" applyFont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3" fontId="1" fillId="4" borderId="2" xfId="0" applyNumberFormat="1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164" fontId="1" fillId="5" borderId="2" xfId="1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3" fontId="0" fillId="0" borderId="7" xfId="0" applyNumberFormat="1" applyBorder="1" applyAlignment="1">
      <alignment horizontal="center"/>
    </xf>
    <xf numFmtId="3" fontId="0" fillId="0" borderId="8" xfId="0" applyNumberFormat="1" applyBorder="1" applyAlignment="1">
      <alignment horizontal="center"/>
    </xf>
    <xf numFmtId="3" fontId="0" fillId="0" borderId="9" xfId="0" applyNumberFormat="1" applyBorder="1" applyAlignment="1">
      <alignment horizontal="center"/>
    </xf>
    <xf numFmtId="3" fontId="0" fillId="0" borderId="10" xfId="0" applyNumberFormat="1" applyBorder="1" applyAlignment="1">
      <alignment horizontal="center"/>
    </xf>
    <xf numFmtId="3" fontId="0" fillId="0" borderId="11" xfId="0" applyNumberFormat="1" applyBorder="1" applyAlignment="1">
      <alignment horizontal="center"/>
    </xf>
    <xf numFmtId="3" fontId="0" fillId="0" borderId="12" xfId="0" applyNumberFormat="1" applyBorder="1" applyAlignment="1">
      <alignment horizontal="center"/>
    </xf>
    <xf numFmtId="0" fontId="1" fillId="0" borderId="2" xfId="0" applyFont="1" applyBorder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5"/>
  <sheetViews>
    <sheetView tabSelected="1" topLeftCell="O1" zoomScaleNormal="100" zoomScaleSheetLayoutView="100" workbookViewId="0">
      <selection activeCell="O13" sqref="O13"/>
    </sheetView>
  </sheetViews>
  <sheetFormatPr baseColWidth="10" defaultRowHeight="14.6" x14ac:dyDescent="0.4"/>
  <cols>
    <col min="1" max="1" width="12.3046875" bestFit="1" customWidth="1"/>
    <col min="2" max="2" width="11.3828125" bestFit="1" customWidth="1"/>
    <col min="3" max="3" width="33.53515625" bestFit="1" customWidth="1"/>
    <col min="4" max="4" width="8" bestFit="1" customWidth="1"/>
    <col min="5" max="5" width="28.69140625" bestFit="1" customWidth="1"/>
    <col min="6" max="6" width="11.15234375" style="30" bestFit="1" customWidth="1"/>
    <col min="7" max="7" width="9.3046875" bestFit="1" customWidth="1"/>
    <col min="8" max="8" width="10.84375" bestFit="1" customWidth="1"/>
    <col min="9" max="9" width="9.3046875" bestFit="1" customWidth="1"/>
    <col min="10" max="10" width="10.84375" bestFit="1" customWidth="1"/>
    <col min="11" max="11" width="9.3046875" bestFit="1" customWidth="1"/>
    <col min="12" max="12" width="11.15234375" bestFit="1" customWidth="1"/>
    <col min="13" max="13" width="10" bestFit="1" customWidth="1"/>
    <col min="14" max="14" width="11.15234375" bestFit="1" customWidth="1"/>
    <col min="15" max="15" width="10" bestFit="1" customWidth="1"/>
    <col min="16" max="16" width="11.15234375" bestFit="1" customWidth="1"/>
    <col min="17" max="17" width="10" bestFit="1" customWidth="1"/>
    <col min="18" max="18" width="11.15234375" bestFit="1" customWidth="1"/>
    <col min="19" max="19" width="11.15234375" customWidth="1"/>
    <col min="20" max="20" width="11.15234375" bestFit="1" customWidth="1"/>
    <col min="21" max="21" width="10" bestFit="1" customWidth="1"/>
  </cols>
  <sheetData>
    <row r="1" spans="1:29" ht="15.9" x14ac:dyDescent="0.45">
      <c r="A1" s="61" t="s">
        <v>49</v>
      </c>
      <c r="B1" s="61"/>
      <c r="C1" s="61"/>
      <c r="D1" s="61"/>
      <c r="E1" s="61"/>
      <c r="F1" s="61"/>
      <c r="G1" s="61"/>
    </row>
    <row r="2" spans="1:29" ht="15.9" x14ac:dyDescent="0.45">
      <c r="A2" s="61"/>
      <c r="B2" s="61"/>
      <c r="C2" s="61"/>
      <c r="D2" s="61"/>
      <c r="E2" s="61"/>
      <c r="F2" s="61"/>
      <c r="G2" s="61"/>
    </row>
    <row r="3" spans="1:29" x14ac:dyDescent="0.4">
      <c r="A3" s="45" t="s">
        <v>26</v>
      </c>
      <c r="B3" s="46">
        <v>4912</v>
      </c>
      <c r="C3" s="46" t="s">
        <v>48</v>
      </c>
      <c r="D3" s="47">
        <f>B4/12</f>
        <v>65100</v>
      </c>
      <c r="E3" s="56" t="s">
        <v>68</v>
      </c>
      <c r="F3" s="36">
        <f>D4/9</f>
        <v>63271</v>
      </c>
      <c r="G3" s="26"/>
    </row>
    <row r="4" spans="1:29" x14ac:dyDescent="0.4">
      <c r="A4" s="59" t="s">
        <v>41</v>
      </c>
      <c r="B4" s="60">
        <v>781200</v>
      </c>
      <c r="C4" s="39" t="s">
        <v>43</v>
      </c>
      <c r="D4" s="35">
        <f>G14+I14+K14+M14+O14+Q14+S14+U14+W14</f>
        <v>569439</v>
      </c>
      <c r="E4" s="57" t="s">
        <v>63</v>
      </c>
      <c r="F4" s="58">
        <f>B4-D4</f>
        <v>211761</v>
      </c>
    </row>
    <row r="5" spans="1:29" x14ac:dyDescent="0.4">
      <c r="A5" s="38"/>
      <c r="B5" s="40"/>
      <c r="D5" s="38"/>
      <c r="E5" s="38"/>
      <c r="F5" s="28"/>
      <c r="G5" s="14"/>
    </row>
    <row r="6" spans="1:29" s="34" customFormat="1" ht="29.15" x14ac:dyDescent="0.4">
      <c r="A6" s="31" t="s">
        <v>12</v>
      </c>
      <c r="B6" s="31" t="s">
        <v>13</v>
      </c>
      <c r="C6" s="31" t="s">
        <v>18</v>
      </c>
      <c r="D6" s="31" t="s">
        <v>19</v>
      </c>
      <c r="E6" s="32" t="s">
        <v>32</v>
      </c>
      <c r="F6" s="32" t="s">
        <v>33</v>
      </c>
      <c r="G6" s="33" t="s">
        <v>36</v>
      </c>
      <c r="H6" s="32" t="s">
        <v>34</v>
      </c>
      <c r="I6" s="33" t="s">
        <v>37</v>
      </c>
      <c r="J6" s="32" t="s">
        <v>35</v>
      </c>
      <c r="K6" s="33" t="s">
        <v>38</v>
      </c>
      <c r="L6" s="32" t="s">
        <v>40</v>
      </c>
      <c r="M6" s="33" t="s">
        <v>39</v>
      </c>
      <c r="N6" s="32" t="s">
        <v>50</v>
      </c>
      <c r="O6" s="33" t="s">
        <v>44</v>
      </c>
      <c r="P6" s="32" t="s">
        <v>51</v>
      </c>
      <c r="Q6" s="33" t="s">
        <v>45</v>
      </c>
      <c r="R6" s="32" t="s">
        <v>52</v>
      </c>
      <c r="S6" s="33" t="s">
        <v>46</v>
      </c>
      <c r="T6" s="32" t="s">
        <v>64</v>
      </c>
      <c r="U6" s="33" t="s">
        <v>53</v>
      </c>
      <c r="V6" s="32" t="s">
        <v>66</v>
      </c>
      <c r="W6" s="33" t="s">
        <v>67</v>
      </c>
      <c r="X6" s="32" t="s">
        <v>69</v>
      </c>
      <c r="Y6" s="33" t="s">
        <v>70</v>
      </c>
      <c r="Z6" s="32" t="s">
        <v>69</v>
      </c>
      <c r="AA6" s="33" t="s">
        <v>71</v>
      </c>
      <c r="AB6" s="32" t="s">
        <v>69</v>
      </c>
      <c r="AC6" s="33" t="s">
        <v>72</v>
      </c>
    </row>
    <row r="7" spans="1:29" x14ac:dyDescent="0.4">
      <c r="A7" s="9" t="s">
        <v>0</v>
      </c>
      <c r="B7" s="9" t="s">
        <v>15</v>
      </c>
      <c r="C7" s="3" t="s">
        <v>10</v>
      </c>
      <c r="D7" s="39">
        <v>1</v>
      </c>
      <c r="E7" s="13">
        <v>118136</v>
      </c>
      <c r="F7" s="29">
        <v>120879</v>
      </c>
      <c r="G7" s="18">
        <f>F7-E7</f>
        <v>2743</v>
      </c>
      <c r="H7" s="13">
        <v>123889</v>
      </c>
      <c r="I7" s="27">
        <f>H7-F7</f>
        <v>3010</v>
      </c>
      <c r="J7" s="13">
        <v>126500</v>
      </c>
      <c r="K7" s="18">
        <f>J7-H7</f>
        <v>2611</v>
      </c>
      <c r="L7" s="13">
        <v>128500</v>
      </c>
      <c r="M7" s="18">
        <f>L7-J7</f>
        <v>2000</v>
      </c>
      <c r="N7" s="13">
        <v>130831</v>
      </c>
      <c r="O7" s="27">
        <f>N7-L7</f>
        <v>2331</v>
      </c>
      <c r="P7" s="41">
        <v>134649</v>
      </c>
      <c r="Q7" s="27">
        <f>P7-N7</f>
        <v>3818</v>
      </c>
      <c r="R7" s="41">
        <v>136601</v>
      </c>
      <c r="S7" s="27">
        <f>R7-P7</f>
        <v>1952</v>
      </c>
      <c r="T7" s="54">
        <v>139401</v>
      </c>
      <c r="U7" s="27">
        <f>T7-R7</f>
        <v>2800</v>
      </c>
      <c r="V7" s="54">
        <v>141679</v>
      </c>
      <c r="W7" s="27">
        <f>V7-T7</f>
        <v>2278</v>
      </c>
      <c r="X7" s="54"/>
      <c r="Y7" s="27">
        <f>X7-V7</f>
        <v>-141679</v>
      </c>
      <c r="Z7" s="3"/>
      <c r="AA7" s="3"/>
      <c r="AB7" s="3"/>
      <c r="AC7" s="3"/>
    </row>
    <row r="8" spans="1:29" x14ac:dyDescent="0.4">
      <c r="A8" s="9" t="s">
        <v>0</v>
      </c>
      <c r="B8" s="9" t="s">
        <v>16</v>
      </c>
      <c r="C8" s="3" t="s">
        <v>9</v>
      </c>
      <c r="D8" s="39">
        <v>7.1</v>
      </c>
      <c r="E8" s="13">
        <v>226070</v>
      </c>
      <c r="F8" s="29">
        <v>239300</v>
      </c>
      <c r="G8" s="18">
        <f t="shared" ref="G8:G13" si="0">F8-E8</f>
        <v>13230</v>
      </c>
      <c r="H8" s="13">
        <v>257172</v>
      </c>
      <c r="I8" s="27">
        <f t="shared" ref="I8:I13" si="1">H8-F8</f>
        <v>17872</v>
      </c>
      <c r="J8" s="13">
        <v>271636</v>
      </c>
      <c r="K8" s="18">
        <f t="shared" ref="K8:K13" si="2">J8-H8</f>
        <v>14464</v>
      </c>
      <c r="L8" s="13">
        <v>282624</v>
      </c>
      <c r="M8" s="18">
        <f t="shared" ref="M8:M13" si="3">L8-J8</f>
        <v>10988</v>
      </c>
      <c r="N8" s="13">
        <v>302100</v>
      </c>
      <c r="O8" s="27">
        <f t="shared" ref="O8:Q13" si="4">N8-L8</f>
        <v>19476</v>
      </c>
      <c r="P8" s="41">
        <v>317987</v>
      </c>
      <c r="Q8" s="27">
        <f t="shared" si="4"/>
        <v>15887</v>
      </c>
      <c r="R8" s="41">
        <v>334044</v>
      </c>
      <c r="S8" s="27">
        <f t="shared" ref="S8:S13" si="5">R8-P8</f>
        <v>16057</v>
      </c>
      <c r="T8" s="41">
        <v>351831</v>
      </c>
      <c r="U8" s="27">
        <f t="shared" ref="U8:U13" si="6">T8-R8</f>
        <v>17787</v>
      </c>
      <c r="V8" s="41">
        <v>364866</v>
      </c>
      <c r="W8" s="27">
        <f>V8-T8</f>
        <v>13035</v>
      </c>
      <c r="X8" s="41"/>
      <c r="Y8" s="27">
        <f>X8-V8</f>
        <v>-364866</v>
      </c>
      <c r="Z8" s="3"/>
      <c r="AA8" s="3"/>
      <c r="AB8" s="3"/>
      <c r="AC8" s="3"/>
    </row>
    <row r="9" spans="1:29" x14ac:dyDescent="0.4">
      <c r="A9" s="9" t="s">
        <v>0</v>
      </c>
      <c r="B9" s="9" t="s">
        <v>7</v>
      </c>
      <c r="C9" s="3" t="s">
        <v>8</v>
      </c>
      <c r="D9" s="39">
        <v>7.2</v>
      </c>
      <c r="E9" s="13">
        <v>26062</v>
      </c>
      <c r="F9" s="29">
        <v>27687</v>
      </c>
      <c r="G9" s="18">
        <f t="shared" si="0"/>
        <v>1625</v>
      </c>
      <c r="H9" s="13">
        <v>28735</v>
      </c>
      <c r="I9" s="27">
        <f t="shared" si="1"/>
        <v>1048</v>
      </c>
      <c r="J9" s="13">
        <v>29718</v>
      </c>
      <c r="K9" s="18">
        <f t="shared" si="2"/>
        <v>983</v>
      </c>
      <c r="L9" s="13">
        <v>30469</v>
      </c>
      <c r="M9" s="18">
        <f t="shared" si="3"/>
        <v>751</v>
      </c>
      <c r="N9" s="13">
        <v>31731</v>
      </c>
      <c r="O9" s="27">
        <f t="shared" si="4"/>
        <v>1262</v>
      </c>
      <c r="P9" s="41">
        <v>32819</v>
      </c>
      <c r="Q9" s="27">
        <f t="shared" si="4"/>
        <v>1088</v>
      </c>
      <c r="R9" s="41">
        <v>34073</v>
      </c>
      <c r="S9" s="27">
        <f t="shared" si="5"/>
        <v>1254</v>
      </c>
      <c r="T9" s="41">
        <v>34863</v>
      </c>
      <c r="U9" s="27">
        <f t="shared" si="6"/>
        <v>790</v>
      </c>
      <c r="V9" s="41">
        <v>35796</v>
      </c>
      <c r="W9" s="27">
        <f t="shared" ref="W9:W13" si="7">V9-T9</f>
        <v>933</v>
      </c>
      <c r="X9" s="41"/>
      <c r="Y9" s="27">
        <f t="shared" ref="Y9:Y13" si="8">X9-V9</f>
        <v>-35796</v>
      </c>
      <c r="Z9" s="3"/>
      <c r="AA9" s="3"/>
      <c r="AB9" s="3"/>
      <c r="AC9" s="3"/>
    </row>
    <row r="10" spans="1:29" x14ac:dyDescent="0.4">
      <c r="A10" s="9" t="s">
        <v>0</v>
      </c>
      <c r="B10" s="9" t="s">
        <v>2</v>
      </c>
      <c r="C10" s="3" t="s">
        <v>4</v>
      </c>
      <c r="D10" s="39">
        <v>8.1</v>
      </c>
      <c r="E10" s="13">
        <v>132700</v>
      </c>
      <c r="F10" s="29">
        <v>141445</v>
      </c>
      <c r="G10" s="18">
        <f t="shared" si="0"/>
        <v>8745</v>
      </c>
      <c r="H10" s="13">
        <v>147460</v>
      </c>
      <c r="I10" s="27">
        <f t="shared" si="1"/>
        <v>6015</v>
      </c>
      <c r="J10" s="13">
        <v>155040</v>
      </c>
      <c r="K10" s="18">
        <f t="shared" si="2"/>
        <v>7580</v>
      </c>
      <c r="L10" s="13">
        <v>159770</v>
      </c>
      <c r="M10" s="18">
        <f t="shared" si="3"/>
        <v>4730</v>
      </c>
      <c r="N10" s="13">
        <v>166081</v>
      </c>
      <c r="O10" s="27">
        <f t="shared" si="4"/>
        <v>6311</v>
      </c>
      <c r="P10" s="41">
        <v>174653</v>
      </c>
      <c r="Q10" s="27">
        <f t="shared" si="4"/>
        <v>8572</v>
      </c>
      <c r="R10" s="41">
        <v>181225</v>
      </c>
      <c r="S10" s="27">
        <f t="shared" si="5"/>
        <v>6572</v>
      </c>
      <c r="T10" s="41">
        <v>189559</v>
      </c>
      <c r="U10" s="27">
        <f t="shared" si="6"/>
        <v>8334</v>
      </c>
      <c r="V10" s="41">
        <v>194678</v>
      </c>
      <c r="W10" s="27">
        <f t="shared" si="7"/>
        <v>5119</v>
      </c>
      <c r="X10" s="41"/>
      <c r="Y10" s="27">
        <f t="shared" si="8"/>
        <v>-194678</v>
      </c>
      <c r="Z10" s="3"/>
      <c r="AA10" s="3"/>
      <c r="AB10" s="3"/>
      <c r="AC10" s="3"/>
    </row>
    <row r="11" spans="1:29" x14ac:dyDescent="0.4">
      <c r="A11" s="9" t="s">
        <v>0</v>
      </c>
      <c r="B11" s="9" t="s">
        <v>17</v>
      </c>
      <c r="C11" s="3" t="s">
        <v>11</v>
      </c>
      <c r="D11" s="39">
        <v>8.1999999999999993</v>
      </c>
      <c r="E11" s="13">
        <v>170083</v>
      </c>
      <c r="F11" s="29">
        <v>179755</v>
      </c>
      <c r="G11" s="18">
        <f t="shared" si="0"/>
        <v>9672</v>
      </c>
      <c r="H11" s="13">
        <v>194038</v>
      </c>
      <c r="I11" s="27">
        <f t="shared" si="1"/>
        <v>14283</v>
      </c>
      <c r="J11" s="13">
        <v>211277</v>
      </c>
      <c r="K11" s="18">
        <f t="shared" si="2"/>
        <v>17239</v>
      </c>
      <c r="L11" s="13">
        <v>224570</v>
      </c>
      <c r="M11" s="18">
        <f t="shared" si="3"/>
        <v>13293</v>
      </c>
      <c r="N11" s="13">
        <v>237984</v>
      </c>
      <c r="O11" s="27">
        <f t="shared" si="4"/>
        <v>13414</v>
      </c>
      <c r="P11" s="41">
        <v>251786</v>
      </c>
      <c r="Q11" s="27">
        <f t="shared" si="4"/>
        <v>13802</v>
      </c>
      <c r="R11" s="41">
        <v>263961</v>
      </c>
      <c r="S11" s="27">
        <f t="shared" si="5"/>
        <v>12175</v>
      </c>
      <c r="T11" s="41">
        <v>277759</v>
      </c>
      <c r="U11" s="27">
        <f t="shared" si="6"/>
        <v>13798</v>
      </c>
      <c r="V11" s="41">
        <v>289221</v>
      </c>
      <c r="W11" s="27">
        <f t="shared" si="7"/>
        <v>11462</v>
      </c>
      <c r="X11" s="41"/>
      <c r="Y11" s="27">
        <f t="shared" si="8"/>
        <v>-289221</v>
      </c>
      <c r="Z11" s="3"/>
      <c r="AA11" s="3"/>
      <c r="AB11" s="3"/>
      <c r="AC11" s="3"/>
    </row>
    <row r="12" spans="1:29" x14ac:dyDescent="0.4">
      <c r="A12" s="9" t="s">
        <v>0</v>
      </c>
      <c r="B12" s="9" t="s">
        <v>5</v>
      </c>
      <c r="C12" s="3" t="s">
        <v>6</v>
      </c>
      <c r="D12" s="39">
        <v>9.1</v>
      </c>
      <c r="E12" s="13">
        <v>138556</v>
      </c>
      <c r="F12" s="29">
        <v>143281</v>
      </c>
      <c r="G12" s="18">
        <f t="shared" si="0"/>
        <v>4725</v>
      </c>
      <c r="H12" s="13">
        <v>154660</v>
      </c>
      <c r="I12" s="27">
        <f t="shared" si="1"/>
        <v>11379</v>
      </c>
      <c r="J12" s="13">
        <v>168095</v>
      </c>
      <c r="K12" s="18">
        <f t="shared" si="2"/>
        <v>13435</v>
      </c>
      <c r="L12" s="13">
        <v>176598</v>
      </c>
      <c r="M12" s="18">
        <f t="shared" si="3"/>
        <v>8503</v>
      </c>
      <c r="N12" s="13">
        <v>186819</v>
      </c>
      <c r="O12" s="27">
        <f t="shared" si="4"/>
        <v>10221</v>
      </c>
      <c r="P12" s="41">
        <v>195772</v>
      </c>
      <c r="Q12" s="27">
        <f t="shared" si="4"/>
        <v>8953</v>
      </c>
      <c r="R12" s="41">
        <v>204423</v>
      </c>
      <c r="S12" s="27">
        <f t="shared" si="5"/>
        <v>8651</v>
      </c>
      <c r="T12" s="41">
        <v>213202</v>
      </c>
      <c r="U12" s="27">
        <f t="shared" si="6"/>
        <v>8779</v>
      </c>
      <c r="V12" s="41">
        <v>221383</v>
      </c>
      <c r="W12" s="27">
        <f t="shared" si="7"/>
        <v>8181</v>
      </c>
      <c r="X12" s="41"/>
      <c r="Y12" s="27">
        <f t="shared" si="8"/>
        <v>-221383</v>
      </c>
      <c r="Z12" s="3"/>
      <c r="AA12" s="3"/>
      <c r="AB12" s="3"/>
      <c r="AC12" s="3"/>
    </row>
    <row r="13" spans="1:29" x14ac:dyDescent="0.4">
      <c r="A13" s="9" t="s">
        <v>0</v>
      </c>
      <c r="B13" s="9" t="s">
        <v>1</v>
      </c>
      <c r="C13" s="3" t="s">
        <v>3</v>
      </c>
      <c r="D13" s="39">
        <v>9.1999999999999993</v>
      </c>
      <c r="E13" s="13">
        <v>182205</v>
      </c>
      <c r="F13" s="29">
        <v>191813</v>
      </c>
      <c r="G13" s="18">
        <f t="shared" si="0"/>
        <v>9608</v>
      </c>
      <c r="H13" s="13">
        <v>206124</v>
      </c>
      <c r="I13" s="27">
        <f t="shared" si="1"/>
        <v>14311</v>
      </c>
      <c r="J13" s="13">
        <v>222848</v>
      </c>
      <c r="K13" s="18">
        <f t="shared" si="2"/>
        <v>16724</v>
      </c>
      <c r="L13" s="13">
        <v>236286</v>
      </c>
      <c r="M13" s="18">
        <f t="shared" si="3"/>
        <v>13438</v>
      </c>
      <c r="N13" s="13">
        <v>251748</v>
      </c>
      <c r="O13" s="27">
        <f t="shared" si="4"/>
        <v>15462</v>
      </c>
      <c r="P13" s="41">
        <v>270688</v>
      </c>
      <c r="Q13" s="27">
        <f t="shared" si="4"/>
        <v>18940</v>
      </c>
      <c r="R13" s="41">
        <v>283191</v>
      </c>
      <c r="S13" s="27">
        <f t="shared" si="5"/>
        <v>12503</v>
      </c>
      <c r="T13" s="41">
        <v>297043</v>
      </c>
      <c r="U13" s="27">
        <f t="shared" si="6"/>
        <v>13852</v>
      </c>
      <c r="V13" s="41">
        <v>315628</v>
      </c>
      <c r="W13" s="27">
        <f t="shared" si="7"/>
        <v>18585</v>
      </c>
      <c r="X13" s="41"/>
      <c r="Y13" s="27">
        <f t="shared" si="8"/>
        <v>-315628</v>
      </c>
      <c r="Z13" s="3"/>
      <c r="AA13" s="3"/>
      <c r="AB13" s="3"/>
      <c r="AC13" s="3"/>
    </row>
    <row r="14" spans="1:29" x14ac:dyDescent="0.4">
      <c r="A14" s="62" t="s">
        <v>23</v>
      </c>
      <c r="B14" s="63"/>
      <c r="C14" s="63"/>
      <c r="D14" s="63"/>
      <c r="E14" s="63"/>
      <c r="F14" s="64"/>
      <c r="G14" s="36">
        <f>SUM(G7:G13)</f>
        <v>50348</v>
      </c>
      <c r="H14" s="35"/>
      <c r="I14" s="37">
        <f>SUM(I7:I13)</f>
        <v>67918</v>
      </c>
      <c r="J14" s="35"/>
      <c r="K14" s="36">
        <f>SUM(K7:K13)</f>
        <v>73036</v>
      </c>
      <c r="L14" s="35"/>
      <c r="M14" s="36">
        <f>SUM(M7:M13)</f>
        <v>53703</v>
      </c>
      <c r="N14" s="3"/>
      <c r="O14" s="36">
        <f>SUM(O7:O13)</f>
        <v>68477</v>
      </c>
      <c r="P14" s="3"/>
      <c r="Q14" s="36">
        <f>SUM(Q7:Q13)</f>
        <v>71060</v>
      </c>
      <c r="R14" s="3"/>
      <c r="S14" s="36">
        <f>SUM(S7:S13)</f>
        <v>59164</v>
      </c>
      <c r="T14" s="3"/>
      <c r="U14" s="36">
        <f>SUM(U7:U13)</f>
        <v>66140</v>
      </c>
      <c r="V14" s="3"/>
      <c r="W14" s="36">
        <f>SUM(W7:W13)</f>
        <v>59593</v>
      </c>
      <c r="X14" s="3"/>
      <c r="Y14" s="36">
        <f>SUM(Y7:Y13)</f>
        <v>-1563251</v>
      </c>
      <c r="Z14" s="3"/>
      <c r="AA14" s="3"/>
      <c r="AB14" s="3"/>
      <c r="AC14" s="3"/>
    </row>
    <row r="15" spans="1:29" s="2" customFormat="1" ht="15.9" x14ac:dyDescent="0.45">
      <c r="F15" s="28"/>
      <c r="G15" s="42" t="s">
        <v>42</v>
      </c>
      <c r="H15" s="43">
        <f>B4-G14</f>
        <v>730852</v>
      </c>
      <c r="I15" s="44"/>
      <c r="J15" s="43">
        <f>H15-I14</f>
        <v>662934</v>
      </c>
      <c r="K15" s="44"/>
      <c r="L15" s="43">
        <f>J15-K14</f>
        <v>589898</v>
      </c>
      <c r="M15" s="44"/>
      <c r="N15" s="43">
        <f>L15-M14</f>
        <v>536195</v>
      </c>
      <c r="O15" s="44"/>
      <c r="P15" s="43">
        <f>N15-O14</f>
        <v>467718</v>
      </c>
      <c r="Q15" s="44"/>
      <c r="R15" s="43">
        <f>P15-Q14</f>
        <v>396658</v>
      </c>
      <c r="S15" s="44"/>
      <c r="T15" s="43">
        <f>R15-S14</f>
        <v>337494</v>
      </c>
      <c r="U15" s="44"/>
      <c r="V15" s="43">
        <f>T15-U14</f>
        <v>271354</v>
      </c>
      <c r="W15" s="44"/>
      <c r="X15" s="43">
        <f>V15-W14</f>
        <v>211761</v>
      </c>
      <c r="Y15" s="44"/>
      <c r="Z15" s="74"/>
      <c r="AA15" s="74"/>
      <c r="AB15" s="74"/>
      <c r="AC15" s="74"/>
    </row>
  </sheetData>
  <mergeCells count="3">
    <mergeCell ref="A1:G1"/>
    <mergeCell ref="A2:G2"/>
    <mergeCell ref="A14:F1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zoomScaleNormal="100"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65</v>
      </c>
      <c r="B2" s="66"/>
      <c r="C2" s="66"/>
      <c r="D2" s="66"/>
      <c r="E2" s="66"/>
      <c r="F2" s="66"/>
      <c r="G2" s="66"/>
      <c r="I2" s="50"/>
      <c r="J2" s="50"/>
      <c r="K2" s="50"/>
      <c r="L2" s="50"/>
      <c r="M2" s="50"/>
      <c r="N2" s="50"/>
      <c r="O2" s="50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271354</v>
      </c>
      <c r="I3" s="50"/>
      <c r="J3" s="50"/>
      <c r="K3" s="50"/>
      <c r="L3" s="50"/>
      <c r="M3" s="50"/>
      <c r="N3" s="50"/>
      <c r="O3" s="50"/>
      <c r="P3" s="1"/>
    </row>
    <row r="4" spans="1:16" x14ac:dyDescent="0.4">
      <c r="A4" s="52" t="s">
        <v>57</v>
      </c>
      <c r="B4" s="53">
        <f>E15</f>
        <v>59593</v>
      </c>
      <c r="C4" s="52" t="s">
        <v>58</v>
      </c>
      <c r="D4" s="53">
        <f>D3-G4</f>
        <v>569439</v>
      </c>
      <c r="E4" s="65" t="s">
        <v>59</v>
      </c>
      <c r="F4" s="65"/>
      <c r="G4" s="53">
        <f>G3-B4</f>
        <v>211761</v>
      </c>
      <c r="I4" s="50"/>
      <c r="J4" s="50"/>
      <c r="K4" s="50"/>
      <c r="L4" s="50"/>
      <c r="M4" s="50"/>
      <c r="N4" s="50"/>
      <c r="O4" s="50"/>
      <c r="P4" s="1"/>
    </row>
    <row r="5" spans="1:16" ht="15" thickBot="1" x14ac:dyDescent="0.45">
      <c r="A5" s="52"/>
      <c r="B5" s="53"/>
      <c r="C5" s="50"/>
      <c r="D5" s="50"/>
      <c r="E5" s="14"/>
      <c r="F5" s="50"/>
      <c r="G5" s="50"/>
      <c r="I5" s="50"/>
      <c r="J5" s="50"/>
      <c r="K5" s="50"/>
      <c r="L5" s="50"/>
      <c r="M5" s="50"/>
      <c r="N5" s="50"/>
      <c r="O5" s="50"/>
      <c r="P5" s="1"/>
    </row>
    <row r="6" spans="1:16" ht="15" thickBot="1" x14ac:dyDescent="0.45">
      <c r="A6" s="50"/>
      <c r="B6" s="50"/>
      <c r="C6" s="11">
        <v>46260</v>
      </c>
      <c r="D6" s="11">
        <v>46289</v>
      </c>
      <c r="E6" s="14"/>
      <c r="F6" s="50"/>
      <c r="G6" s="50"/>
      <c r="I6" s="50"/>
      <c r="J6" s="50"/>
      <c r="K6" s="50"/>
      <c r="L6" s="50"/>
      <c r="M6" s="50"/>
      <c r="N6" s="50"/>
      <c r="O6" s="50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54">
        <v>139401</v>
      </c>
      <c r="D8" s="54">
        <v>141679</v>
      </c>
      <c r="E8" s="16">
        <f>D8-C8</f>
        <v>2278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41">
        <v>351831</v>
      </c>
      <c r="D9" s="41">
        <v>364866</v>
      </c>
      <c r="E9" s="16">
        <f t="shared" ref="E9:E14" si="0">D9-C9</f>
        <v>13035</v>
      </c>
      <c r="F9" s="3" t="s">
        <v>9</v>
      </c>
      <c r="G9" s="51">
        <v>7.1</v>
      </c>
    </row>
    <row r="10" spans="1:16" x14ac:dyDescent="0.4">
      <c r="A10" s="9" t="s">
        <v>0</v>
      </c>
      <c r="B10" s="9" t="s">
        <v>7</v>
      </c>
      <c r="C10" s="41">
        <v>34863</v>
      </c>
      <c r="D10" s="41">
        <v>35796</v>
      </c>
      <c r="E10" s="16">
        <f t="shared" si="0"/>
        <v>933</v>
      </c>
      <c r="F10" s="3" t="s">
        <v>8</v>
      </c>
      <c r="G10" s="51">
        <v>7.2</v>
      </c>
    </row>
    <row r="11" spans="1:16" x14ac:dyDescent="0.4">
      <c r="A11" s="9" t="s">
        <v>0</v>
      </c>
      <c r="B11" s="9" t="s">
        <v>2</v>
      </c>
      <c r="C11" s="41">
        <v>189559</v>
      </c>
      <c r="D11" s="41">
        <v>194678</v>
      </c>
      <c r="E11" s="16">
        <f t="shared" si="0"/>
        <v>5119</v>
      </c>
      <c r="F11" s="3" t="s">
        <v>4</v>
      </c>
      <c r="G11" s="51">
        <v>8.1</v>
      </c>
    </row>
    <row r="12" spans="1:16" x14ac:dyDescent="0.4">
      <c r="A12" s="9" t="s">
        <v>0</v>
      </c>
      <c r="B12" s="9" t="s">
        <v>17</v>
      </c>
      <c r="C12" s="41">
        <v>277759</v>
      </c>
      <c r="D12" s="41">
        <v>289221</v>
      </c>
      <c r="E12" s="16">
        <f t="shared" si="0"/>
        <v>11462</v>
      </c>
      <c r="F12" s="3" t="s">
        <v>11</v>
      </c>
      <c r="G12" s="51">
        <v>8.1999999999999993</v>
      </c>
    </row>
    <row r="13" spans="1:16" x14ac:dyDescent="0.4">
      <c r="A13" s="9" t="s">
        <v>0</v>
      </c>
      <c r="B13" s="9" t="s">
        <v>5</v>
      </c>
      <c r="C13" s="41">
        <v>213202</v>
      </c>
      <c r="D13" s="41">
        <v>221383</v>
      </c>
      <c r="E13" s="16">
        <f t="shared" si="0"/>
        <v>8181</v>
      </c>
      <c r="F13" s="3" t="s">
        <v>6</v>
      </c>
      <c r="G13" s="51">
        <v>9.1</v>
      </c>
    </row>
    <row r="14" spans="1:16" x14ac:dyDescent="0.4">
      <c r="A14" s="9" t="s">
        <v>0</v>
      </c>
      <c r="B14" s="9" t="s">
        <v>1</v>
      </c>
      <c r="C14" s="41">
        <v>297043</v>
      </c>
      <c r="D14" s="41">
        <v>315628</v>
      </c>
      <c r="E14" s="16">
        <f t="shared" si="0"/>
        <v>18585</v>
      </c>
      <c r="F14" s="3" t="s">
        <v>3</v>
      </c>
      <c r="G14" s="51">
        <v>9.1999999999999993</v>
      </c>
    </row>
    <row r="15" spans="1:16" x14ac:dyDescent="0.4">
      <c r="A15" s="67" t="s">
        <v>23</v>
      </c>
      <c r="B15" s="67"/>
      <c r="C15" s="13">
        <f>SUM(C8:C14)</f>
        <v>1503658</v>
      </c>
      <c r="D15" s="41">
        <f>SUM(D8:D14)</f>
        <v>1563251</v>
      </c>
      <c r="E15" s="18">
        <f>SUM(E8:E14)</f>
        <v>59593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E18:F18"/>
    <mergeCell ref="E19:F19"/>
    <mergeCell ref="A1:G1"/>
    <mergeCell ref="I1:O1"/>
    <mergeCell ref="A2:G2"/>
    <mergeCell ref="E3:F3"/>
    <mergeCell ref="E4:F4"/>
    <mergeCell ref="A15:B15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activeCell="G4" sqref="G4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54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337494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66140</v>
      </c>
      <c r="C4" s="52" t="s">
        <v>58</v>
      </c>
      <c r="D4" s="53">
        <f>D3-G4</f>
        <v>509846</v>
      </c>
      <c r="E4" s="65" t="s">
        <v>59</v>
      </c>
      <c r="F4" s="65"/>
      <c r="G4" s="53">
        <f>G3-B4</f>
        <v>271354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46229</v>
      </c>
      <c r="D6" s="11">
        <v>46260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54">
        <v>136601</v>
      </c>
      <c r="D8" s="54">
        <v>139401</v>
      </c>
      <c r="E8" s="16">
        <f>D8-C8</f>
        <v>2800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41">
        <v>334044</v>
      </c>
      <c r="D9" s="41">
        <v>351831</v>
      </c>
      <c r="E9" s="16">
        <f t="shared" ref="E9:E14" si="0">D9-C9</f>
        <v>17787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41">
        <v>34073</v>
      </c>
      <c r="D10" s="41">
        <v>34863</v>
      </c>
      <c r="E10" s="16">
        <f t="shared" si="0"/>
        <v>790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41">
        <v>181225</v>
      </c>
      <c r="D11" s="41">
        <v>189559</v>
      </c>
      <c r="E11" s="16">
        <f t="shared" si="0"/>
        <v>8334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41">
        <v>263961</v>
      </c>
      <c r="D12" s="41">
        <v>277759</v>
      </c>
      <c r="E12" s="16">
        <f t="shared" si="0"/>
        <v>13798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41">
        <v>204423</v>
      </c>
      <c r="D13" s="41">
        <v>213202</v>
      </c>
      <c r="E13" s="16">
        <f t="shared" si="0"/>
        <v>8779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41">
        <v>283191</v>
      </c>
      <c r="D14" s="41">
        <v>297043</v>
      </c>
      <c r="E14" s="16">
        <f t="shared" si="0"/>
        <v>13852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1437518</v>
      </c>
      <c r="D15" s="41">
        <f>SUM(D8:D14)</f>
        <v>1503658</v>
      </c>
      <c r="E15" s="18">
        <f>SUM(E8:E14)</f>
        <v>66140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A15:B15"/>
    <mergeCell ref="E18:F18"/>
    <mergeCell ref="E19:F19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47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396658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59164</v>
      </c>
      <c r="C4" s="52" t="s">
        <v>58</v>
      </c>
      <c r="D4" s="53">
        <f>D3-G4</f>
        <v>443706</v>
      </c>
      <c r="E4" s="65" t="s">
        <v>59</v>
      </c>
      <c r="F4" s="65"/>
      <c r="G4" s="53">
        <f>G3-B4</f>
        <v>337494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46198</v>
      </c>
      <c r="D6" s="11">
        <v>46229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134649</v>
      </c>
      <c r="D8" s="54">
        <v>136601</v>
      </c>
      <c r="E8" s="16">
        <f>D8-C8</f>
        <v>1952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317987</v>
      </c>
      <c r="D9" s="41">
        <v>334044</v>
      </c>
      <c r="E9" s="16">
        <f t="shared" ref="E9:E14" si="0">D9-C9</f>
        <v>16057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32819</v>
      </c>
      <c r="D10" s="41">
        <v>34073</v>
      </c>
      <c r="E10" s="16">
        <f t="shared" si="0"/>
        <v>1254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174653</v>
      </c>
      <c r="D11" s="41">
        <v>181225</v>
      </c>
      <c r="E11" s="16">
        <f t="shared" si="0"/>
        <v>6572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251786</v>
      </c>
      <c r="D12" s="41">
        <v>263961</v>
      </c>
      <c r="E12" s="16">
        <f t="shared" si="0"/>
        <v>12175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195772</v>
      </c>
      <c r="D13" s="41">
        <v>204423</v>
      </c>
      <c r="E13" s="16">
        <f t="shared" si="0"/>
        <v>8651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270688</v>
      </c>
      <c r="D14" s="41">
        <v>283191</v>
      </c>
      <c r="E14" s="16">
        <f t="shared" si="0"/>
        <v>12503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1378354</v>
      </c>
      <c r="D15" s="41">
        <f>SUM(D8:D14)</f>
        <v>1437518</v>
      </c>
      <c r="E15" s="18">
        <f>SUM(E8:E14)</f>
        <v>59164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E18:F18"/>
    <mergeCell ref="E19:F19"/>
    <mergeCell ref="A1:G1"/>
    <mergeCell ref="I1:O1"/>
    <mergeCell ref="A2:G2"/>
    <mergeCell ref="E3:F3"/>
    <mergeCell ref="E4:F4"/>
    <mergeCell ref="A15:B1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60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467718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71060</v>
      </c>
      <c r="C4" s="52" t="s">
        <v>58</v>
      </c>
      <c r="D4" s="53">
        <f>D3-G4</f>
        <v>384542</v>
      </c>
      <c r="E4" s="65" t="s">
        <v>59</v>
      </c>
      <c r="F4" s="65"/>
      <c r="G4" s="53">
        <f>G3-B4</f>
        <v>396658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46168</v>
      </c>
      <c r="D6" s="11">
        <v>46198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130831</v>
      </c>
      <c r="D8" s="54">
        <v>134649</v>
      </c>
      <c r="E8" s="16">
        <f>D8-C8</f>
        <v>3818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302100</v>
      </c>
      <c r="D9" s="41">
        <v>317987</v>
      </c>
      <c r="E9" s="16">
        <f t="shared" ref="E9:E14" si="0">D9-C9</f>
        <v>15887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31731</v>
      </c>
      <c r="D10" s="41">
        <v>32819</v>
      </c>
      <c r="E10" s="16">
        <f t="shared" si="0"/>
        <v>1088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166081</v>
      </c>
      <c r="D11" s="41">
        <v>174653</v>
      </c>
      <c r="E11" s="16">
        <f t="shared" si="0"/>
        <v>8572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237984</v>
      </c>
      <c r="D12" s="41">
        <v>251786</v>
      </c>
      <c r="E12" s="16">
        <f t="shared" si="0"/>
        <v>13802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186819</v>
      </c>
      <c r="D13" s="41">
        <v>195772</v>
      </c>
      <c r="E13" s="16">
        <f t="shared" si="0"/>
        <v>8953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251748</v>
      </c>
      <c r="D14" s="41">
        <v>270688</v>
      </c>
      <c r="E14" s="16">
        <f t="shared" si="0"/>
        <v>18940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1307294</v>
      </c>
      <c r="D15" s="41">
        <f>SUM(D8:D14)</f>
        <v>1378354</v>
      </c>
      <c r="E15" s="18">
        <f>SUM(E8:E14)</f>
        <v>71060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E18:F18"/>
    <mergeCell ref="E19:F19"/>
    <mergeCell ref="A1:G1"/>
    <mergeCell ref="I1:O1"/>
    <mergeCell ref="A2:G2"/>
    <mergeCell ref="E3:F3"/>
    <mergeCell ref="E4:F4"/>
    <mergeCell ref="A15:B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61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536195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68477</v>
      </c>
      <c r="C4" s="52" t="s">
        <v>62</v>
      </c>
      <c r="D4" s="53">
        <f>D3-G4</f>
        <v>313482</v>
      </c>
      <c r="E4" s="65" t="s">
        <v>59</v>
      </c>
      <c r="F4" s="65"/>
      <c r="G4" s="53">
        <f>G3-B4</f>
        <v>467718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46138</v>
      </c>
      <c r="D6" s="11">
        <v>46168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128500</v>
      </c>
      <c r="D8" s="12">
        <v>130831</v>
      </c>
      <c r="E8" s="16">
        <f>D8-C8</f>
        <v>2331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282624</v>
      </c>
      <c r="D9" s="13">
        <v>302100</v>
      </c>
      <c r="E9" s="16">
        <f t="shared" ref="E9:E14" si="0">D9-C9</f>
        <v>19476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30469</v>
      </c>
      <c r="D10" s="13">
        <v>31731</v>
      </c>
      <c r="E10" s="16">
        <f t="shared" si="0"/>
        <v>1262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159770</v>
      </c>
      <c r="D11" s="13">
        <v>166081</v>
      </c>
      <c r="E11" s="16">
        <f t="shared" si="0"/>
        <v>6311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224570</v>
      </c>
      <c r="D12" s="13">
        <v>237984</v>
      </c>
      <c r="E12" s="16">
        <f t="shared" si="0"/>
        <v>13414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176598</v>
      </c>
      <c r="D13" s="13">
        <v>186819</v>
      </c>
      <c r="E13" s="16">
        <f t="shared" si="0"/>
        <v>10221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236286</v>
      </c>
      <c r="D14" s="13">
        <v>251748</v>
      </c>
      <c r="E14" s="16">
        <f t="shared" si="0"/>
        <v>15462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1238817</v>
      </c>
      <c r="D15" s="13">
        <f>SUM(D8:D14)</f>
        <v>1307294</v>
      </c>
      <c r="E15" s="18">
        <f>SUM(E8:E14)</f>
        <v>68477</v>
      </c>
      <c r="F15" s="3"/>
      <c r="G15" s="3"/>
    </row>
    <row r="17" spans="4:5" x14ac:dyDescent="0.4">
      <c r="D17" s="2"/>
      <c r="E17" s="55"/>
    </row>
  </sheetData>
  <mergeCells count="6">
    <mergeCell ref="A15:B15"/>
    <mergeCell ref="A1:G1"/>
    <mergeCell ref="I1:O1"/>
    <mergeCell ref="A2:G2"/>
    <mergeCell ref="E3:F3"/>
    <mergeCell ref="E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30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589898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53703</v>
      </c>
      <c r="C4" s="52" t="s">
        <v>62</v>
      </c>
      <c r="D4" s="53">
        <f>D3-G4</f>
        <v>245005</v>
      </c>
      <c r="E4" s="65" t="s">
        <v>59</v>
      </c>
      <c r="F4" s="65"/>
      <c r="G4" s="53">
        <f>G3-B4</f>
        <v>536195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46107</v>
      </c>
      <c r="D6" s="11">
        <v>46138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126500</v>
      </c>
      <c r="D8" s="12">
        <v>128500</v>
      </c>
      <c r="E8" s="16">
        <f>D8-C8</f>
        <v>2000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271636</v>
      </c>
      <c r="D9" s="13">
        <v>282624</v>
      </c>
      <c r="E9" s="16">
        <f t="shared" ref="E9:E14" si="0">D9-C9</f>
        <v>10988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29718</v>
      </c>
      <c r="D10" s="13">
        <v>30469</v>
      </c>
      <c r="E10" s="16">
        <f t="shared" si="0"/>
        <v>751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155040</v>
      </c>
      <c r="D11" s="13">
        <v>159770</v>
      </c>
      <c r="E11" s="16">
        <f t="shared" si="0"/>
        <v>4730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211277</v>
      </c>
      <c r="D12" s="13">
        <v>224570</v>
      </c>
      <c r="E12" s="16">
        <f t="shared" si="0"/>
        <v>13293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168095</v>
      </c>
      <c r="D13" s="13">
        <v>176598</v>
      </c>
      <c r="E13" s="16">
        <f t="shared" si="0"/>
        <v>8503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222848</v>
      </c>
      <c r="D14" s="13">
        <v>236286</v>
      </c>
      <c r="E14" s="16">
        <f t="shared" si="0"/>
        <v>13438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1185114</v>
      </c>
      <c r="D15" s="13">
        <f>SUM(D8:D14)</f>
        <v>1238817</v>
      </c>
      <c r="E15" s="18">
        <f>SUM(E8:E14)</f>
        <v>53703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A15:B15"/>
    <mergeCell ref="E18:F18"/>
    <mergeCell ref="E19:F19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29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662934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73036</v>
      </c>
      <c r="C4" s="52" t="s">
        <v>62</v>
      </c>
      <c r="D4" s="53">
        <f>D3-G4</f>
        <v>191302</v>
      </c>
      <c r="E4" s="65" t="s">
        <v>59</v>
      </c>
      <c r="F4" s="65"/>
      <c r="G4" s="53">
        <f>G3-B4</f>
        <v>589898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46079</v>
      </c>
      <c r="D6" s="11">
        <v>46107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123889</v>
      </c>
      <c r="D8" s="12">
        <v>126500</v>
      </c>
      <c r="E8" s="16">
        <f>D8-C8</f>
        <v>2611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257172</v>
      </c>
      <c r="D9" s="13">
        <v>271636</v>
      </c>
      <c r="E9" s="16">
        <f t="shared" ref="E9:E14" si="0">D9-C9</f>
        <v>14464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28735</v>
      </c>
      <c r="D10" s="13">
        <v>29718</v>
      </c>
      <c r="E10" s="16">
        <f t="shared" si="0"/>
        <v>983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147460</v>
      </c>
      <c r="D11" s="13">
        <v>155040</v>
      </c>
      <c r="E11" s="16">
        <f t="shared" si="0"/>
        <v>7580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194038</v>
      </c>
      <c r="D12" s="13">
        <v>211277</v>
      </c>
      <c r="E12" s="16">
        <f t="shared" si="0"/>
        <v>17239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154660</v>
      </c>
      <c r="D13" s="13">
        <v>168095</v>
      </c>
      <c r="E13" s="16">
        <f t="shared" si="0"/>
        <v>13435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206124</v>
      </c>
      <c r="D14" s="13">
        <v>222848</v>
      </c>
      <c r="E14" s="16">
        <f t="shared" si="0"/>
        <v>16724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1112078</v>
      </c>
      <c r="D15" s="13">
        <f>SUM(D8:D14)</f>
        <v>1185114</v>
      </c>
      <c r="E15" s="18">
        <f>SUM(E8:E14)</f>
        <v>73036</v>
      </c>
      <c r="F15" s="3"/>
      <c r="G15" s="3"/>
    </row>
    <row r="17" spans="1:7" x14ac:dyDescent="0.4">
      <c r="D17" s="2"/>
      <c r="E17" s="55"/>
    </row>
    <row r="18" spans="1:7" x14ac:dyDescent="0.4">
      <c r="A18" s="25"/>
      <c r="B18" s="24"/>
      <c r="C18" s="52"/>
      <c r="D18" s="53"/>
      <c r="E18" s="65"/>
      <c r="F18" s="65"/>
      <c r="G18" s="53"/>
    </row>
    <row r="19" spans="1:7" x14ac:dyDescent="0.4">
      <c r="A19" s="52"/>
      <c r="B19" s="53"/>
      <c r="C19" s="52"/>
      <c r="D19" s="53"/>
      <c r="E19" s="65"/>
      <c r="F19" s="65"/>
      <c r="G19" s="53"/>
    </row>
  </sheetData>
  <mergeCells count="8">
    <mergeCell ref="A15:B15"/>
    <mergeCell ref="E18:F18"/>
    <mergeCell ref="E19:F19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24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730852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67918</v>
      </c>
      <c r="C4" s="52" t="s">
        <v>62</v>
      </c>
      <c r="D4" s="53">
        <f>D3-G4</f>
        <v>118266</v>
      </c>
      <c r="E4" s="65" t="s">
        <v>59</v>
      </c>
      <c r="F4" s="65"/>
      <c r="G4" s="53">
        <f>G3-B4</f>
        <v>662934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46047</v>
      </c>
      <c r="D6" s="11">
        <v>46079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120879</v>
      </c>
      <c r="D8" s="12">
        <v>123889</v>
      </c>
      <c r="E8" s="16">
        <f>D8-C8</f>
        <v>3010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239300</v>
      </c>
      <c r="D9" s="13">
        <v>257172</v>
      </c>
      <c r="E9" s="16">
        <f t="shared" ref="E9:E14" si="0">D9-C9</f>
        <v>17872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27687</v>
      </c>
      <c r="D10" s="13">
        <v>28735</v>
      </c>
      <c r="E10" s="16">
        <f t="shared" si="0"/>
        <v>1048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141445</v>
      </c>
      <c r="D11" s="13">
        <v>147460</v>
      </c>
      <c r="E11" s="16">
        <f t="shared" si="0"/>
        <v>6015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179755</v>
      </c>
      <c r="D12" s="13">
        <v>194038</v>
      </c>
      <c r="E12" s="16">
        <f t="shared" si="0"/>
        <v>14283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143281</v>
      </c>
      <c r="D13" s="13">
        <v>154660</v>
      </c>
      <c r="E13" s="16">
        <f t="shared" si="0"/>
        <v>11379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191813</v>
      </c>
      <c r="D14" s="13">
        <v>206124</v>
      </c>
      <c r="E14" s="16">
        <f t="shared" si="0"/>
        <v>14311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1044160</v>
      </c>
      <c r="D15" s="13">
        <f>SUM(D8:D14)</f>
        <v>1112078</v>
      </c>
      <c r="E15" s="18">
        <f>SUM(E8:E14)</f>
        <v>67918</v>
      </c>
      <c r="F15" s="3"/>
      <c r="G15" s="3"/>
    </row>
    <row r="17" spans="4:5" x14ac:dyDescent="0.4">
      <c r="D17" s="2"/>
      <c r="E17" s="55"/>
    </row>
  </sheetData>
  <mergeCells count="6">
    <mergeCell ref="A15:B15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28</v>
      </c>
      <c r="B2" s="66"/>
      <c r="C2" s="66"/>
      <c r="D2" s="66"/>
      <c r="E2" s="66"/>
      <c r="F2" s="66"/>
      <c r="G2" s="66"/>
      <c r="I2" s="19"/>
      <c r="J2" s="19"/>
      <c r="K2" s="19"/>
      <c r="L2" s="19"/>
      <c r="M2" s="19"/>
      <c r="N2" s="19"/>
      <c r="O2" s="19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781200</v>
      </c>
      <c r="I3" s="21"/>
      <c r="J3" s="21"/>
      <c r="K3" s="21"/>
      <c r="L3" s="21"/>
      <c r="M3" s="21"/>
      <c r="N3" s="21"/>
      <c r="O3" s="21"/>
      <c r="P3" s="1"/>
    </row>
    <row r="4" spans="1:16" x14ac:dyDescent="0.4">
      <c r="A4" s="52" t="s">
        <v>57</v>
      </c>
      <c r="B4" s="53">
        <f>E15</f>
        <v>50348</v>
      </c>
      <c r="C4" s="52" t="s">
        <v>62</v>
      </c>
      <c r="D4" s="53">
        <f>D3-G4</f>
        <v>50348</v>
      </c>
      <c r="E4" s="65" t="s">
        <v>59</v>
      </c>
      <c r="F4" s="65"/>
      <c r="G4" s="53">
        <f>G3-B4</f>
        <v>730852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19"/>
      <c r="B5" s="19"/>
      <c r="C5" s="19"/>
      <c r="D5" s="19"/>
      <c r="E5" s="14"/>
      <c r="F5" s="19"/>
      <c r="G5" s="19"/>
      <c r="I5" s="19"/>
      <c r="J5" s="19"/>
      <c r="K5" s="19"/>
      <c r="L5" s="19"/>
      <c r="M5" s="19"/>
      <c r="N5" s="19"/>
      <c r="O5" s="19"/>
      <c r="P5" s="1"/>
    </row>
    <row r="6" spans="1:16" ht="15" thickBot="1" x14ac:dyDescent="0.45">
      <c r="A6" s="19"/>
      <c r="B6" s="19"/>
      <c r="C6" s="11">
        <v>45659</v>
      </c>
      <c r="D6" s="11">
        <v>46047</v>
      </c>
      <c r="E6" s="14" t="s">
        <v>31</v>
      </c>
      <c r="F6" s="19"/>
      <c r="G6" s="19"/>
      <c r="I6" s="19"/>
      <c r="J6" s="19"/>
      <c r="K6" s="19"/>
      <c r="L6" s="19"/>
      <c r="M6" s="19"/>
      <c r="N6" s="19"/>
      <c r="O6" s="19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118136</v>
      </c>
      <c r="D8" s="12">
        <v>120879</v>
      </c>
      <c r="E8" s="16">
        <f>D8-C8</f>
        <v>2743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226070</v>
      </c>
      <c r="D9" s="13">
        <v>239300</v>
      </c>
      <c r="E9" s="16">
        <f t="shared" ref="E9:E14" si="0">D9-C9</f>
        <v>13230</v>
      </c>
      <c r="F9" s="3" t="s">
        <v>9</v>
      </c>
      <c r="G9" s="20">
        <v>7.1</v>
      </c>
    </row>
    <row r="10" spans="1:16" x14ac:dyDescent="0.4">
      <c r="A10" s="9" t="s">
        <v>0</v>
      </c>
      <c r="B10" s="9" t="s">
        <v>7</v>
      </c>
      <c r="C10" s="13">
        <v>26062</v>
      </c>
      <c r="D10" s="13">
        <v>27687</v>
      </c>
      <c r="E10" s="16">
        <f t="shared" si="0"/>
        <v>1625</v>
      </c>
      <c r="F10" s="3" t="s">
        <v>8</v>
      </c>
      <c r="G10" s="20">
        <v>7.2</v>
      </c>
    </row>
    <row r="11" spans="1:16" x14ac:dyDescent="0.4">
      <c r="A11" s="9" t="s">
        <v>0</v>
      </c>
      <c r="B11" s="9" t="s">
        <v>2</v>
      </c>
      <c r="C11" s="13">
        <v>132700</v>
      </c>
      <c r="D11" s="13">
        <v>141445</v>
      </c>
      <c r="E11" s="16">
        <f t="shared" si="0"/>
        <v>8745</v>
      </c>
      <c r="F11" s="3" t="s">
        <v>4</v>
      </c>
      <c r="G11" s="20">
        <v>8.1</v>
      </c>
    </row>
    <row r="12" spans="1:16" x14ac:dyDescent="0.4">
      <c r="A12" s="9" t="s">
        <v>0</v>
      </c>
      <c r="B12" s="9" t="s">
        <v>17</v>
      </c>
      <c r="C12" s="13">
        <v>170083</v>
      </c>
      <c r="D12" s="13">
        <v>179755</v>
      </c>
      <c r="E12" s="16">
        <f t="shared" si="0"/>
        <v>9672</v>
      </c>
      <c r="F12" s="3" t="s">
        <v>11</v>
      </c>
      <c r="G12" s="20">
        <v>8.1999999999999993</v>
      </c>
    </row>
    <row r="13" spans="1:16" x14ac:dyDescent="0.4">
      <c r="A13" s="9" t="s">
        <v>0</v>
      </c>
      <c r="B13" s="9" t="s">
        <v>5</v>
      </c>
      <c r="C13" s="13">
        <v>138556</v>
      </c>
      <c r="D13" s="13">
        <v>143281</v>
      </c>
      <c r="E13" s="16">
        <f t="shared" si="0"/>
        <v>4725</v>
      </c>
      <c r="F13" s="3" t="s">
        <v>6</v>
      </c>
      <c r="G13" s="20">
        <v>9.1</v>
      </c>
    </row>
    <row r="14" spans="1:16" x14ac:dyDescent="0.4">
      <c r="A14" s="9" t="s">
        <v>0</v>
      </c>
      <c r="B14" s="9" t="s">
        <v>1</v>
      </c>
      <c r="C14" s="13">
        <v>182205</v>
      </c>
      <c r="D14" s="13">
        <v>191813</v>
      </c>
      <c r="E14" s="16">
        <f t="shared" si="0"/>
        <v>9608</v>
      </c>
      <c r="F14" s="3" t="s">
        <v>3</v>
      </c>
      <c r="G14" s="20">
        <v>9.1999999999999993</v>
      </c>
    </row>
    <row r="15" spans="1:16" x14ac:dyDescent="0.4">
      <c r="A15" s="67" t="s">
        <v>23</v>
      </c>
      <c r="B15" s="67"/>
      <c r="C15" s="13">
        <f>SUM(C8:C14)</f>
        <v>993812</v>
      </c>
      <c r="D15" s="13">
        <f>SUM(D8:D14)</f>
        <v>1044160</v>
      </c>
      <c r="E15" s="18">
        <f>SUM(E8:E14)</f>
        <v>50348</v>
      </c>
      <c r="F15" s="3"/>
      <c r="G15" s="3"/>
    </row>
  </sheetData>
  <mergeCells count="6">
    <mergeCell ref="A1:G1"/>
    <mergeCell ref="I1:O1"/>
    <mergeCell ref="A2:G2"/>
    <mergeCell ref="A15:B15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7"/>
  <sheetViews>
    <sheetView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27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781200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E15</f>
        <v>35919</v>
      </c>
      <c r="C4" s="52" t="s">
        <v>62</v>
      </c>
      <c r="D4" s="53">
        <f>D3-G4</f>
        <v>35919</v>
      </c>
      <c r="E4" s="65" t="s">
        <v>59</v>
      </c>
      <c r="F4" s="65"/>
      <c r="G4" s="53">
        <f>G3-B4</f>
        <v>745281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48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46024</v>
      </c>
      <c r="D6" s="11">
        <v>46037</v>
      </c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12">
        <v>118136</v>
      </c>
      <c r="D8" s="12">
        <v>119913</v>
      </c>
      <c r="E8" s="16">
        <f t="shared" ref="E8:E14" si="0">D8-C8</f>
        <v>1777</v>
      </c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13">
        <v>226070</v>
      </c>
      <c r="D9" s="13">
        <v>236008</v>
      </c>
      <c r="E9" s="16">
        <f t="shared" si="0"/>
        <v>9938</v>
      </c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13">
        <v>26062</v>
      </c>
      <c r="D10" s="13">
        <v>27394</v>
      </c>
      <c r="E10" s="16">
        <f t="shared" si="0"/>
        <v>1332</v>
      </c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13">
        <v>132700</v>
      </c>
      <c r="D11" s="13">
        <v>139325</v>
      </c>
      <c r="E11" s="16">
        <f t="shared" si="0"/>
        <v>6625</v>
      </c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13">
        <v>170083</v>
      </c>
      <c r="D12" s="13">
        <v>176259</v>
      </c>
      <c r="E12" s="16">
        <f t="shared" si="0"/>
        <v>6176</v>
      </c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13">
        <v>138556</v>
      </c>
      <c r="D13" s="13">
        <v>141466</v>
      </c>
      <c r="E13" s="16">
        <f t="shared" si="0"/>
        <v>2910</v>
      </c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13">
        <v>182205</v>
      </c>
      <c r="D14" s="13">
        <v>189366</v>
      </c>
      <c r="E14" s="16">
        <f t="shared" si="0"/>
        <v>7161</v>
      </c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993812</v>
      </c>
      <c r="D15" s="13">
        <f>SUM(D8:D14)</f>
        <v>1029731</v>
      </c>
      <c r="E15" s="18">
        <f>SUM(E8:E14)</f>
        <v>35919</v>
      </c>
      <c r="F15" s="3"/>
      <c r="G15" s="3"/>
    </row>
    <row r="17" spans="4:5" x14ac:dyDescent="0.4">
      <c r="D17" s="2"/>
      <c r="E17" s="55"/>
    </row>
  </sheetData>
  <mergeCells count="6">
    <mergeCell ref="A15:B15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5"/>
  <sheetViews>
    <sheetView zoomScaleNormal="100" workbookViewId="0">
      <selection sqref="A1:G1"/>
    </sheetView>
  </sheetViews>
  <sheetFormatPr baseColWidth="10" defaultRowHeight="14.6" x14ac:dyDescent="0.4"/>
  <cols>
    <col min="1" max="1" width="17.53515625" bestFit="1" customWidth="1"/>
    <col min="2" max="2" width="11.3046875" bestFit="1" customWidth="1"/>
    <col min="3" max="3" width="16.15234375" bestFit="1" customWidth="1"/>
    <col min="4" max="4" width="15.15234375" bestFit="1" customWidth="1"/>
    <col min="5" max="5" width="10" style="17" bestFit="1" customWidth="1"/>
    <col min="6" max="6" width="10.69140625" bestFit="1" customWidth="1"/>
    <col min="7" max="7" width="7.53515625" bestFit="1" customWidth="1"/>
    <col min="11" max="11" width="14.84375" bestFit="1" customWidth="1"/>
    <col min="16" max="16" width="11.3046875" bestFit="1" customWidth="1"/>
  </cols>
  <sheetData>
    <row r="1" spans="1:16" x14ac:dyDescent="0.4">
      <c r="A1" s="66" t="s">
        <v>22</v>
      </c>
      <c r="B1" s="66"/>
      <c r="C1" s="66"/>
      <c r="D1" s="66"/>
      <c r="E1" s="66"/>
      <c r="F1" s="66"/>
      <c r="G1" s="66"/>
      <c r="I1" s="66"/>
      <c r="J1" s="66"/>
      <c r="K1" s="66"/>
      <c r="L1" s="66"/>
      <c r="M1" s="66"/>
      <c r="N1" s="66"/>
      <c r="O1" s="66"/>
      <c r="P1" s="1"/>
    </row>
    <row r="2" spans="1:16" x14ac:dyDescent="0.4">
      <c r="A2" s="66" t="s">
        <v>25</v>
      </c>
      <c r="B2" s="66"/>
      <c r="C2" s="66"/>
      <c r="D2" s="66"/>
      <c r="E2" s="66"/>
      <c r="F2" s="66"/>
      <c r="G2" s="66"/>
      <c r="I2" s="48"/>
      <c r="J2" s="48"/>
      <c r="K2" s="48"/>
      <c r="L2" s="48"/>
      <c r="M2" s="48"/>
      <c r="N2" s="48"/>
      <c r="O2" s="48"/>
      <c r="P2" s="1"/>
    </row>
    <row r="3" spans="1:16" x14ac:dyDescent="0.4">
      <c r="A3" s="25" t="s">
        <v>26</v>
      </c>
      <c r="B3" s="24">
        <v>4912</v>
      </c>
      <c r="C3" s="52" t="s">
        <v>55</v>
      </c>
      <c r="D3" s="53">
        <v>781200</v>
      </c>
      <c r="E3" s="65" t="s">
        <v>56</v>
      </c>
      <c r="F3" s="65"/>
      <c r="G3" s="53">
        <v>781200</v>
      </c>
      <c r="I3" s="48"/>
      <c r="J3" s="48"/>
      <c r="K3" s="48"/>
      <c r="L3" s="48"/>
      <c r="M3" s="48"/>
      <c r="N3" s="48"/>
      <c r="O3" s="48"/>
      <c r="P3" s="1"/>
    </row>
    <row r="4" spans="1:16" x14ac:dyDescent="0.4">
      <c r="A4" s="52" t="s">
        <v>57</v>
      </c>
      <c r="B4" s="53">
        <f>D8</f>
        <v>0</v>
      </c>
      <c r="C4" s="52" t="s">
        <v>62</v>
      </c>
      <c r="D4" s="53">
        <f>D3-G4</f>
        <v>0</v>
      </c>
      <c r="E4" s="65" t="s">
        <v>59</v>
      </c>
      <c r="F4" s="65"/>
      <c r="G4" s="53">
        <f>G3-B4</f>
        <v>781200</v>
      </c>
      <c r="I4" s="48"/>
      <c r="J4" s="48"/>
      <c r="K4" s="48"/>
      <c r="L4" s="48"/>
      <c r="M4" s="48"/>
      <c r="N4" s="48"/>
      <c r="O4" s="48"/>
      <c r="P4" s="1"/>
    </row>
    <row r="5" spans="1:16" ht="15" thickBot="1" x14ac:dyDescent="0.45">
      <c r="A5" s="52"/>
      <c r="B5" s="53"/>
      <c r="C5" s="48"/>
      <c r="D5" s="53"/>
      <c r="E5" s="14"/>
      <c r="F5" s="48"/>
      <c r="G5" s="48"/>
      <c r="I5" s="48"/>
      <c r="J5" s="48"/>
      <c r="K5" s="48"/>
      <c r="L5" s="48"/>
      <c r="M5" s="48"/>
      <c r="N5" s="48"/>
      <c r="O5" s="48"/>
      <c r="P5" s="1"/>
    </row>
    <row r="6" spans="1:16" ht="15" thickBot="1" x14ac:dyDescent="0.45">
      <c r="A6" s="48"/>
      <c r="B6" s="48"/>
      <c r="C6" s="11">
        <v>46024</v>
      </c>
      <c r="D6" s="11"/>
      <c r="E6" s="14"/>
      <c r="F6" s="48"/>
      <c r="G6" s="48"/>
      <c r="I6" s="48"/>
      <c r="J6" s="48"/>
      <c r="K6" s="48"/>
      <c r="L6" s="48"/>
      <c r="M6" s="48"/>
      <c r="N6" s="48"/>
      <c r="O6" s="48"/>
      <c r="P6" s="1"/>
    </row>
    <row r="7" spans="1:16" ht="15" thickBot="1" x14ac:dyDescent="0.45">
      <c r="A7" s="6" t="s">
        <v>12</v>
      </c>
      <c r="B7" s="7" t="s">
        <v>13</v>
      </c>
      <c r="C7" s="7" t="s">
        <v>20</v>
      </c>
      <c r="D7" s="7" t="s">
        <v>21</v>
      </c>
      <c r="E7" s="15" t="s">
        <v>14</v>
      </c>
      <c r="F7" s="7" t="s">
        <v>18</v>
      </c>
      <c r="G7" s="8" t="s">
        <v>19</v>
      </c>
      <c r="I7" s="2"/>
      <c r="J7" s="2"/>
      <c r="K7" s="2"/>
      <c r="L7" s="2"/>
      <c r="M7" s="2"/>
      <c r="N7" s="2"/>
      <c r="O7" s="2"/>
      <c r="P7" s="2"/>
    </row>
    <row r="8" spans="1:16" x14ac:dyDescent="0.4">
      <c r="A8" s="10" t="s">
        <v>0</v>
      </c>
      <c r="B8" s="10" t="s">
        <v>15</v>
      </c>
      <c r="C8" s="23">
        <v>118136</v>
      </c>
      <c r="D8" s="68"/>
      <c r="E8" s="69"/>
      <c r="F8" s="4" t="s">
        <v>10</v>
      </c>
      <c r="G8" s="5">
        <v>1</v>
      </c>
    </row>
    <row r="9" spans="1:16" x14ac:dyDescent="0.4">
      <c r="A9" s="9" t="s">
        <v>0</v>
      </c>
      <c r="B9" s="9" t="s">
        <v>16</v>
      </c>
      <c r="C9" s="22">
        <v>226070</v>
      </c>
      <c r="D9" s="70"/>
      <c r="E9" s="71"/>
      <c r="F9" s="3" t="s">
        <v>9</v>
      </c>
      <c r="G9" s="49">
        <v>7.1</v>
      </c>
    </row>
    <row r="10" spans="1:16" x14ac:dyDescent="0.4">
      <c r="A10" s="9" t="s">
        <v>0</v>
      </c>
      <c r="B10" s="9" t="s">
        <v>7</v>
      </c>
      <c r="C10" s="22">
        <v>26062</v>
      </c>
      <c r="D10" s="70"/>
      <c r="E10" s="71"/>
      <c r="F10" s="3" t="s">
        <v>8</v>
      </c>
      <c r="G10" s="49">
        <v>7.2</v>
      </c>
    </row>
    <row r="11" spans="1:16" x14ac:dyDescent="0.4">
      <c r="A11" s="9" t="s">
        <v>0</v>
      </c>
      <c r="B11" s="9" t="s">
        <v>2</v>
      </c>
      <c r="C11" s="22">
        <v>132700</v>
      </c>
      <c r="D11" s="70"/>
      <c r="E11" s="71"/>
      <c r="F11" s="3" t="s">
        <v>4</v>
      </c>
      <c r="G11" s="49">
        <v>8.1</v>
      </c>
    </row>
    <row r="12" spans="1:16" x14ac:dyDescent="0.4">
      <c r="A12" s="9" t="s">
        <v>0</v>
      </c>
      <c r="B12" s="9" t="s">
        <v>17</v>
      </c>
      <c r="C12" s="22">
        <v>170083</v>
      </c>
      <c r="D12" s="70"/>
      <c r="E12" s="71"/>
      <c r="F12" s="3" t="s">
        <v>11</v>
      </c>
      <c r="G12" s="49">
        <v>8.1999999999999993</v>
      </c>
    </row>
    <row r="13" spans="1:16" x14ac:dyDescent="0.4">
      <c r="A13" s="9" t="s">
        <v>0</v>
      </c>
      <c r="B13" s="9" t="s">
        <v>5</v>
      </c>
      <c r="C13" s="22">
        <v>138556</v>
      </c>
      <c r="D13" s="70"/>
      <c r="E13" s="71"/>
      <c r="F13" s="3" t="s">
        <v>6</v>
      </c>
      <c r="G13" s="49">
        <v>9.1</v>
      </c>
    </row>
    <row r="14" spans="1:16" x14ac:dyDescent="0.4">
      <c r="A14" s="9" t="s">
        <v>0</v>
      </c>
      <c r="B14" s="9" t="s">
        <v>1</v>
      </c>
      <c r="C14" s="22">
        <v>182205</v>
      </c>
      <c r="D14" s="70"/>
      <c r="E14" s="71"/>
      <c r="F14" s="3" t="s">
        <v>3</v>
      </c>
      <c r="G14" s="49">
        <v>9.1999999999999993</v>
      </c>
    </row>
    <row r="15" spans="1:16" x14ac:dyDescent="0.4">
      <c r="A15" s="67" t="s">
        <v>23</v>
      </c>
      <c r="B15" s="67"/>
      <c r="C15" s="13">
        <f>SUM(C8:C14)</f>
        <v>993812</v>
      </c>
      <c r="D15" s="72"/>
      <c r="E15" s="73"/>
      <c r="F15" s="3"/>
      <c r="G15" s="3"/>
    </row>
  </sheetData>
  <mergeCells count="7">
    <mergeCell ref="D8:E15"/>
    <mergeCell ref="A15:B15"/>
    <mergeCell ref="A1:G1"/>
    <mergeCell ref="I1:O1"/>
    <mergeCell ref="A2:G2"/>
    <mergeCell ref="E3:F3"/>
    <mergeCell ref="E4:F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Control Copias e Impresiones</vt:lpstr>
      <vt:lpstr>Septiembre</vt:lpstr>
      <vt:lpstr>Agosto</vt:lpstr>
      <vt:lpstr>Julio</vt:lpstr>
      <vt:lpstr>Junio</vt:lpstr>
      <vt:lpstr>Mayo</vt:lpstr>
      <vt:lpstr>Abril</vt:lpstr>
      <vt:lpstr>Marzo</vt:lpstr>
      <vt:lpstr>Febrero</vt:lpstr>
      <vt:lpstr>Enero 25012026</vt:lpstr>
      <vt:lpstr>Enero 15012026</vt:lpstr>
      <vt:lpstr>Enero 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Mario Heriberto Rivera Vásquez</dc:creator>
  <cp:lastModifiedBy>Carlos Enrique Ticurú Pinal</cp:lastModifiedBy>
  <dcterms:created xsi:type="dcterms:W3CDTF">2025-08-28T14:10:31Z</dcterms:created>
  <dcterms:modified xsi:type="dcterms:W3CDTF">2026-10-27T22:17:49Z</dcterms:modified>
</cp:coreProperties>
</file>